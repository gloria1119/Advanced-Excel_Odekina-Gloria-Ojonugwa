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ria Odekina O\Downloads\"/>
    </mc:Choice>
  </mc:AlternateContent>
  <xr:revisionPtr revIDLastSave="0" documentId="13_ncr:1_{60709D7E-E9D1-4C10-B874-C91A3D11FDCA}" xr6:coauthVersionLast="47" xr6:coauthVersionMax="47" xr10:uidLastSave="{00000000-0000-0000-0000-000000000000}"/>
  <bookViews>
    <workbookView xWindow="-120" yWindow="-120" windowWidth="20730" windowHeight="11310" tabRatio="808" firstSheet="2" activeTab="4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definedNames>
    <definedName name="Taxrate">'Formula Fundamentals'!$G$2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" i="6" l="1"/>
  <c r="M4" i="6"/>
  <c r="L4" i="6"/>
  <c r="N3" i="6"/>
  <c r="M3" i="6"/>
  <c r="L3" i="6"/>
  <c r="E7" i="9"/>
  <c r="E3" i="9"/>
  <c r="I22" i="6"/>
  <c r="I23" i="6"/>
  <c r="I24" i="6"/>
  <c r="I25" i="6"/>
  <c r="I26" i="6"/>
  <c r="I27" i="6"/>
  <c r="I21" i="6"/>
  <c r="I28" i="6" s="1"/>
  <c r="H22" i="6"/>
  <c r="H23" i="6"/>
  <c r="H24" i="6"/>
  <c r="H25" i="6"/>
  <c r="H26" i="6"/>
  <c r="H27" i="6"/>
  <c r="H21" i="6"/>
  <c r="H28" i="6" s="1"/>
  <c r="G22" i="6"/>
  <c r="G23" i="6"/>
  <c r="G24" i="6"/>
  <c r="G25" i="6"/>
  <c r="G26" i="6"/>
  <c r="G27" i="6"/>
  <c r="G21" i="6"/>
  <c r="G28" i="6" s="1"/>
  <c r="I12" i="6"/>
  <c r="I13" i="6"/>
  <c r="I14" i="6"/>
  <c r="I15" i="6"/>
  <c r="I16" i="6"/>
  <c r="I17" i="6"/>
  <c r="I11" i="6"/>
  <c r="H12" i="6"/>
  <c r="H13" i="6"/>
  <c r="H14" i="6"/>
  <c r="H15" i="6"/>
  <c r="H16" i="6"/>
  <c r="H17" i="6"/>
  <c r="H11" i="6"/>
  <c r="G12" i="6"/>
  <c r="G13" i="6"/>
  <c r="G14" i="6"/>
  <c r="G15" i="6"/>
  <c r="G16" i="6"/>
  <c r="G17" i="6"/>
  <c r="G11" i="6"/>
  <c r="A5" i="10"/>
  <c r="A2" i="10"/>
  <c r="C23" i="8"/>
  <c r="C19" i="8"/>
  <c r="C15" i="8"/>
  <c r="C11" i="8"/>
  <c r="C5" i="8"/>
  <c r="C4" i="8"/>
  <c r="C3" i="8"/>
  <c r="C2" i="8"/>
  <c r="A32" i="7"/>
  <c r="A26" i="7"/>
  <c r="D22" i="7"/>
  <c r="C22" i="7"/>
  <c r="A19" i="7"/>
  <c r="B22" i="7"/>
  <c r="A15" i="7"/>
  <c r="A12" i="7"/>
  <c r="A11" i="7"/>
  <c r="A7" i="7"/>
  <c r="A3" i="7"/>
  <c r="I7" i="6"/>
  <c r="G7" i="6"/>
  <c r="H7" i="6"/>
  <c r="I6" i="6"/>
  <c r="H6" i="6"/>
  <c r="G6" i="6"/>
  <c r="E12" i="5"/>
  <c r="I5" i="6"/>
  <c r="H5" i="6"/>
  <c r="G5" i="6"/>
  <c r="E6" i="5"/>
  <c r="E5" i="5"/>
  <c r="E4" i="5"/>
  <c r="E3" i="5"/>
  <c r="E2" i="5"/>
  <c r="E11" i="5"/>
  <c r="E10" i="5"/>
  <c r="B5" i="4"/>
  <c r="C4" i="13"/>
  <c r="C5" i="13" s="1"/>
  <c r="D4" i="13"/>
  <c r="D5" i="13" s="1"/>
  <c r="C4" i="12"/>
  <c r="C5" i="12" s="1"/>
  <c r="D4" i="12"/>
  <c r="D5" i="12" s="1"/>
  <c r="B4" i="13"/>
  <c r="B5" i="13" s="1"/>
  <c r="B4" i="12"/>
  <c r="B5" i="12" s="1"/>
  <c r="E2" i="13"/>
  <c r="E2" i="12"/>
  <c r="E3" i="13"/>
  <c r="E3" i="12"/>
  <c r="B3" i="11"/>
  <c r="A2" i="11"/>
  <c r="A3" i="11" s="1"/>
  <c r="A1" i="11"/>
  <c r="B4" i="4"/>
  <c r="B4" i="11" l="1"/>
  <c r="E4" i="12"/>
  <c r="E4" i="13"/>
  <c r="E5" i="13" s="1"/>
  <c r="B9" i="12" l="1"/>
  <c r="E5" i="12"/>
</calcChain>
</file>

<file path=xl/sharedStrings.xml><?xml version="1.0" encoding="utf-8"?>
<sst xmlns="http://schemas.openxmlformats.org/spreadsheetml/2006/main" count="185" uniqueCount="76">
  <si>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</si>
  <si>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</si>
  <si>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</si>
  <si>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</si>
  <si>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</si>
  <si>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</si>
  <si>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</si>
  <si>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</si>
  <si>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</si>
  <si>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</si>
  <si>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I used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</si>
  <si>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</si>
  <si>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</si>
  <si>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</si>
  <si>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</si>
  <si>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</si>
  <si>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Fortune</t>
  </si>
  <si>
    <t>Snickerdoodle</t>
  </si>
  <si>
    <t>2nd most sold</t>
  </si>
  <si>
    <t>Birthday Cake</t>
  </si>
  <si>
    <t>2nd least sold</t>
  </si>
  <si>
    <t>Peanut Butter</t>
  </si>
  <si>
    <t># of cookies with sales?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</si>
  <si>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</si>
  <si>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</si>
  <si>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</si>
  <si>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</si>
  <si>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</si>
  <si>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</si>
  <si>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</si>
  <si>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India</t>
  </si>
  <si>
    <t>Philippines</t>
  </si>
  <si>
    <t>sum of cookies sold</t>
  </si>
  <si>
    <t>Average of cookies sold</t>
  </si>
  <si>
    <t>Averageif</t>
  </si>
  <si>
    <t>Counts of cookies sold</t>
  </si>
  <si>
    <t>Averageifs</t>
  </si>
  <si>
    <t>Countif</t>
  </si>
  <si>
    <t>Countifs</t>
  </si>
  <si>
    <t>Minifs</t>
  </si>
  <si>
    <t>Maxifs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</si>
  <si>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</si>
  <si>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</si>
  <si>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</si>
  <si>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</si>
  <si>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</si>
  <si>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</si>
  <si>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</si>
  <si>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</si>
  <si>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</si>
  <si>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</si>
  <si>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</si>
  <si>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</si>
  <si>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</si>
  <si>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</si>
  <si>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</si>
  <si>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</si>
  <si>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</si>
  <si>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</si>
  <si>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</si>
  <si>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</si>
  <si>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</si>
  <si>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</si>
  <si>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</si>
  <si>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</si>
  <si>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</si>
  <si>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</si>
  <si>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</si>
  <si>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</si>
  <si>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</si>
  <si>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</si>
  <si>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</si>
  <si>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</si>
  <si>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</si>
  <si>
    <t>Minimum cookies sold</t>
  </si>
  <si>
    <t>Maximum cookies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</si>
</sst>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76A051-5D71-4D3D-941C-477FD00F2BFD}" name="Table1" displayName="Table1" ref="A1:B8" totalsRowShown="0" headerRowDxfId="0">
  <autoFilter ref="A1:B8" xr:uid="{A376A051-5D71-4D3D-941C-477FD00F2BFD}"/>
  <tableColumns count="2">
    <tableColumn id="1" xr3:uid="{B5925DF1-B4DA-4E31-A77C-4D86C1F8F5C0}" name="Cookie Name"/>
    <tableColumn id="2" xr3:uid="{F5478878-D3FF-49AD-A3CC-F8365820D3B3}" name="Cookies Sol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40" zoomScaleNormal="140" workbookViewId="0">
      <selection activeCell="B10" sqref="B10"/>
    </sheetView>
  </sheetViews>
  <sheetFormatPr defaultRowHeight="15" x14ac:dyDescent="0.25"/>
  <cols>
    <col min="1" max="1" width="11.140625" customWidth="1"/>
    <col min="2" max="2" width="17" customWidth="1"/>
    <col min="3" max="3" width="16.85546875" customWidth="1"/>
    <col min="4" max="4" width="12.42578125" bestFit="1" customWidth="1"/>
    <col min="6" max="6" width="2.28515625" customWidth="1"/>
  </cols>
  <sheetData>
    <row r="1" spans="1:7" x14ac:dyDescent="0.2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25">
      <c r="A2" s="2" t="s">
        <v>5</v>
      </c>
      <c r="B2">
        <v>10</v>
      </c>
      <c r="C2">
        <v>8</v>
      </c>
      <c r="D2">
        <v>5</v>
      </c>
      <c r="E2">
        <f>SUM(B2,C2,D2)</f>
        <v>23</v>
      </c>
      <c r="G2" s="3">
        <v>0.1</v>
      </c>
    </row>
    <row r="3" spans="1:7" x14ac:dyDescent="0.25">
      <c r="A3" s="2" t="s">
        <v>6</v>
      </c>
      <c r="B3">
        <v>4</v>
      </c>
      <c r="C3">
        <v>3</v>
      </c>
      <c r="D3">
        <v>2</v>
      </c>
      <c r="E3">
        <f t="shared" ref="E3" si="0">SUM(B3,C3,D3)</f>
        <v>9</v>
      </c>
    </row>
    <row r="4" spans="1:7" x14ac:dyDescent="0.25">
      <c r="A4" s="2" t="s">
        <v>7</v>
      </c>
      <c r="B4">
        <f>B2-B3</f>
        <v>6</v>
      </c>
      <c r="C4">
        <f t="shared" ref="C4:D4" si="1">C2-C3</f>
        <v>5</v>
      </c>
      <c r="D4">
        <f t="shared" si="1"/>
        <v>3</v>
      </c>
      <c r="E4">
        <f>E2-E3</f>
        <v>14</v>
      </c>
    </row>
    <row r="5" spans="1:7" x14ac:dyDescent="0.25">
      <c r="A5" s="2" t="s">
        <v>8</v>
      </c>
      <c r="B5">
        <f>B4*Taxrate</f>
        <v>0.60000000000000009</v>
      </c>
      <c r="C5">
        <f>C4*Taxrate</f>
        <v>0.5</v>
      </c>
      <c r="D5">
        <f>D4*Taxrate</f>
        <v>0.30000000000000004</v>
      </c>
      <c r="E5">
        <f>E4*Taxrate</f>
        <v>1.4000000000000001</v>
      </c>
    </row>
    <row r="6" spans="1:7" x14ac:dyDescent="0.25">
      <c r="A6" s="2"/>
      <c r="C6" s="1"/>
    </row>
    <row r="7" spans="1:7" x14ac:dyDescent="0.25">
      <c r="C7" s="1"/>
    </row>
    <row r="8" spans="1:7" x14ac:dyDescent="0.25">
      <c r="C8" s="1"/>
    </row>
    <row r="9" spans="1:7" x14ac:dyDescent="0.25">
      <c r="A9" s="2" t="s">
        <v>9</v>
      </c>
      <c r="B9">
        <f>E4/2</f>
        <v>7</v>
      </c>
      <c r="C9" s="1"/>
      <c r="D9" s="6"/>
    </row>
    <row r="10" spans="1:7" x14ac:dyDescent="0.25">
      <c r="C10" s="1"/>
      <c r="D10" s="6"/>
    </row>
    <row r="11" spans="1:7" x14ac:dyDescent="0.25">
      <c r="C11" s="1"/>
    </row>
    <row r="12" spans="1:7" x14ac:dyDescent="0.2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E5"/>
  <sheetViews>
    <sheetView zoomScale="140" zoomScaleNormal="140" workbookViewId="0">
      <selection activeCell="C7" sqref="C7"/>
    </sheetView>
  </sheetViews>
  <sheetFormatPr defaultRowHeight="15" x14ac:dyDescent="0.25"/>
  <sheetData>
    <row r="1" spans="1:5" x14ac:dyDescent="0.25">
      <c r="A1" s="2" t="s">
        <v>4</v>
      </c>
    </row>
    <row r="2" spans="1:5" x14ac:dyDescent="0.25">
      <c r="A2" s="3">
        <v>0.1</v>
      </c>
      <c r="E2">
        <f>SUM(B2,C2,D2)</f>
        <v>0</v>
      </c>
    </row>
    <row r="3" spans="1:5" x14ac:dyDescent="0.25">
      <c r="E3">
        <f t="shared" ref="E3" si="0">SUM(B3,C3,D3)</f>
        <v>0</v>
      </c>
    </row>
    <row r="4" spans="1:5" x14ac:dyDescent="0.25">
      <c r="B4">
        <f>B2-B3</f>
        <v>0</v>
      </c>
      <c r="C4">
        <f t="shared" ref="C4:D4" si="1">C2-C3</f>
        <v>0</v>
      </c>
      <c r="D4">
        <f t="shared" si="1"/>
        <v>0</v>
      </c>
      <c r="E4">
        <f>E2-E3</f>
        <v>0</v>
      </c>
    </row>
    <row r="5" spans="1:5" x14ac:dyDescent="0.25">
      <c r="B5">
        <f>B4*$G$2</f>
        <v>0</v>
      </c>
      <c r="C5">
        <f t="shared" ref="C5:D5" si="2">C4*$G$2</f>
        <v>0</v>
      </c>
      <c r="D5">
        <f t="shared" si="2"/>
        <v>0</v>
      </c>
      <c r="E5">
        <f>E4*$G$2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138" zoomScaleNormal="138" workbookViewId="0">
      <selection activeCell="B6" sqref="B6"/>
    </sheetView>
  </sheetViews>
  <sheetFormatPr defaultRowHeight="15" x14ac:dyDescent="0.25"/>
  <cols>
    <col min="2" max="2" width="14.42578125" bestFit="1" customWidth="1"/>
  </cols>
  <sheetData>
    <row r="1" spans="1:4" x14ac:dyDescent="0.25">
      <c r="B1" s="2" t="s">
        <v>0</v>
      </c>
      <c r="D1" s="2" t="s">
        <v>4</v>
      </c>
    </row>
    <row r="2" spans="1:4" x14ac:dyDescent="0.25">
      <c r="A2" s="2" t="s">
        <v>5</v>
      </c>
      <c r="B2">
        <v>10</v>
      </c>
      <c r="D2" s="3">
        <v>0.1</v>
      </c>
    </row>
    <row r="3" spans="1:4" x14ac:dyDescent="0.25">
      <c r="A3" s="2" t="s">
        <v>6</v>
      </c>
      <c r="B3">
        <v>4</v>
      </c>
    </row>
    <row r="4" spans="1:4" x14ac:dyDescent="0.25">
      <c r="A4" s="2" t="s">
        <v>7</v>
      </c>
      <c r="B4">
        <f>B2-B3</f>
        <v>6</v>
      </c>
    </row>
    <row r="5" spans="1:4" x14ac:dyDescent="0.25">
      <c r="A5" s="2" t="s">
        <v>8</v>
      </c>
      <c r="B5">
        <f>(B2-B3)*D2</f>
        <v>0.60000000000000009</v>
      </c>
    </row>
    <row r="7" spans="1:4" x14ac:dyDescent="0.25">
      <c r="A7" s="4"/>
    </row>
    <row r="8" spans="1:4" x14ac:dyDescent="0.25">
      <c r="A8" s="4"/>
    </row>
    <row r="9" spans="1:4" x14ac:dyDescent="0.25">
      <c r="A9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F12"/>
  <sheetViews>
    <sheetView zoomScale="127" zoomScaleNormal="127" workbookViewId="0">
      <selection activeCell="E13" sqref="E13"/>
    </sheetView>
  </sheetViews>
  <sheetFormatPr defaultRowHeight="15" x14ac:dyDescent="0.25"/>
  <cols>
    <col min="1" max="1" width="16.7109375" customWidth="1"/>
    <col min="2" max="2" width="13.7109375" customWidth="1"/>
    <col min="3" max="3" width="11.140625" customWidth="1"/>
    <col min="4" max="4" width="23.7109375" customWidth="1"/>
    <col min="5" max="5" width="12" bestFit="1" customWidth="1"/>
    <col min="6" max="6" width="14.28515625" customWidth="1"/>
  </cols>
  <sheetData>
    <row r="1" spans="1:6" x14ac:dyDescent="0.25">
      <c r="A1" s="2" t="s">
        <v>11</v>
      </c>
      <c r="B1" s="2" t="s">
        <v>12</v>
      </c>
    </row>
    <row r="2" spans="1:6" x14ac:dyDescent="0.25">
      <c r="A2" t="s">
        <v>0</v>
      </c>
      <c r="B2">
        <v>97</v>
      </c>
      <c r="D2" t="s">
        <v>13</v>
      </c>
      <c r="E2">
        <f>SUM(B2:B8)</f>
        <v>421</v>
      </c>
    </row>
    <row r="3" spans="1:6" x14ac:dyDescent="0.25">
      <c r="A3" t="s">
        <v>1</v>
      </c>
      <c r="B3">
        <v>77</v>
      </c>
      <c r="D3" t="s">
        <v>14</v>
      </c>
      <c r="E3">
        <f>MAX(B2:B8)</f>
        <v>97</v>
      </c>
      <c r="F3" t="s">
        <v>0</v>
      </c>
    </row>
    <row r="4" spans="1:6" x14ac:dyDescent="0.25">
      <c r="A4" t="s">
        <v>2</v>
      </c>
      <c r="B4">
        <v>67</v>
      </c>
      <c r="D4" t="s">
        <v>15</v>
      </c>
      <c r="E4">
        <f>MIN(B2:B8)</f>
        <v>36</v>
      </c>
      <c r="F4" t="s">
        <v>16</v>
      </c>
    </row>
    <row r="5" spans="1:6" x14ac:dyDescent="0.25">
      <c r="A5" t="s">
        <v>17</v>
      </c>
      <c r="B5">
        <v>52</v>
      </c>
      <c r="D5" t="s">
        <v>18</v>
      </c>
      <c r="E5">
        <f>LARGE(B2:B8,2)</f>
        <v>77</v>
      </c>
      <c r="F5" t="s">
        <v>1</v>
      </c>
    </row>
    <row r="6" spans="1:6" x14ac:dyDescent="0.25">
      <c r="A6" t="s">
        <v>19</v>
      </c>
      <c r="B6">
        <v>52</v>
      </c>
      <c r="D6" t="s">
        <v>20</v>
      </c>
      <c r="E6">
        <f>SMALL(B2:B8,2)</f>
        <v>40</v>
      </c>
      <c r="F6" t="s">
        <v>21</v>
      </c>
    </row>
    <row r="7" spans="1:6" x14ac:dyDescent="0.25">
      <c r="A7" t="s">
        <v>21</v>
      </c>
      <c r="B7">
        <v>40</v>
      </c>
      <c r="D7" t="s">
        <v>22</v>
      </c>
    </row>
    <row r="8" spans="1:6" x14ac:dyDescent="0.25">
      <c r="A8" t="s">
        <v>16</v>
      </c>
      <c r="B8">
        <v>36</v>
      </c>
    </row>
    <row r="10" spans="1:6" x14ac:dyDescent="0.25">
      <c r="D10" t="s">
        <v>23</v>
      </c>
      <c r="E10">
        <f>AVERAGE(B2:B8)</f>
        <v>60.142857142857146</v>
      </c>
    </row>
    <row r="11" spans="1:6" x14ac:dyDescent="0.25">
      <c r="D11" t="s">
        <v>24</v>
      </c>
      <c r="E11">
        <f>MEDIAN(B2:B8)</f>
        <v>52</v>
      </c>
    </row>
    <row r="12" spans="1:6" x14ac:dyDescent="0.25">
      <c r="D12" t="s">
        <v>25</v>
      </c>
      <c r="E12">
        <f>MODE(B:B)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N28"/>
  <sheetViews>
    <sheetView tabSelected="1" topLeftCell="E1" zoomScale="130" zoomScaleNormal="130" workbookViewId="0">
      <selection activeCell="N5" sqref="N5"/>
    </sheetView>
  </sheetViews>
  <sheetFormatPr defaultRowHeight="15" x14ac:dyDescent="0.25"/>
  <cols>
    <col min="1" max="1" width="15.7109375" bestFit="1" customWidth="1"/>
    <col min="2" max="2" width="15.7109375" customWidth="1"/>
    <col min="3" max="3" width="12.28515625" bestFit="1" customWidth="1"/>
    <col min="5" max="5" width="10.42578125" customWidth="1"/>
    <col min="6" max="6" width="26.42578125" customWidth="1"/>
    <col min="7" max="7" width="9.85546875" customWidth="1"/>
    <col min="8" max="8" width="13.28515625" customWidth="1"/>
    <col min="9" max="9" width="9.85546875" customWidth="1"/>
    <col min="11" max="11" width="22.42578125" customWidth="1"/>
    <col min="13" max="13" width="13.140625" bestFit="1" customWidth="1"/>
  </cols>
  <sheetData>
    <row r="1" spans="1:14" x14ac:dyDescent="0.25">
      <c r="A1" s="2" t="s">
        <v>11</v>
      </c>
      <c r="B1" s="2" t="s">
        <v>26</v>
      </c>
      <c r="C1" s="2" t="s">
        <v>12</v>
      </c>
    </row>
    <row r="2" spans="1:14" x14ac:dyDescent="0.25">
      <c r="A2" t="s">
        <v>0</v>
      </c>
      <c r="B2" t="s">
        <v>27</v>
      </c>
      <c r="C2">
        <v>28</v>
      </c>
      <c r="E2" t="s">
        <v>28</v>
      </c>
      <c r="L2" s="2" t="s">
        <v>30</v>
      </c>
      <c r="M2" s="2" t="s">
        <v>27</v>
      </c>
      <c r="N2" s="2" t="s">
        <v>31</v>
      </c>
    </row>
    <row r="3" spans="1:14" x14ac:dyDescent="0.25">
      <c r="A3" t="s">
        <v>1</v>
      </c>
      <c r="B3" t="s">
        <v>27</v>
      </c>
      <c r="C3">
        <v>32</v>
      </c>
      <c r="E3" t="s">
        <v>29</v>
      </c>
      <c r="K3" s="2" t="s">
        <v>74</v>
      </c>
      <c r="L3">
        <f>_xlfn.MINIFS(C:C,B:B,B9)</f>
        <v>21</v>
      </c>
      <c r="M3">
        <f>_xlfn.MINIFS(C:C,B:B,B2)</f>
        <v>28</v>
      </c>
      <c r="N3">
        <f>_xlfn.MINIFS(C:C,B:B,B17)</f>
        <v>29</v>
      </c>
    </row>
    <row r="4" spans="1:14" x14ac:dyDescent="0.25">
      <c r="A4" t="s">
        <v>2</v>
      </c>
      <c r="B4" t="s">
        <v>27</v>
      </c>
      <c r="C4">
        <v>52</v>
      </c>
      <c r="F4" s="9"/>
      <c r="G4" s="2" t="s">
        <v>30</v>
      </c>
      <c r="H4" s="2" t="s">
        <v>27</v>
      </c>
      <c r="I4" s="2" t="s">
        <v>31</v>
      </c>
      <c r="K4" s="2" t="s">
        <v>75</v>
      </c>
      <c r="L4">
        <f>_xlfn.MAXIFS($C:$C,$B:$B,B9)</f>
        <v>75</v>
      </c>
      <c r="M4">
        <f>_xlfn.MAXIFS(C:C,B:B,B2)</f>
        <v>100</v>
      </c>
      <c r="N4">
        <f>_xlfn.MAXIFS($C:$C,$B:$B,B16)</f>
        <v>100</v>
      </c>
    </row>
    <row r="5" spans="1:14" x14ac:dyDescent="0.25">
      <c r="A5" t="s">
        <v>17</v>
      </c>
      <c r="B5" t="s">
        <v>27</v>
      </c>
      <c r="C5">
        <v>67</v>
      </c>
      <c r="F5" s="2" t="s">
        <v>32</v>
      </c>
      <c r="G5">
        <f>SUMIF(B:B,B10,C:C)</f>
        <v>301</v>
      </c>
      <c r="H5">
        <f>SUMIF(B:B,B2,C:C)</f>
        <v>362</v>
      </c>
      <c r="I5">
        <f>SUMIF(B:B,B16,C:C)</f>
        <v>440</v>
      </c>
    </row>
    <row r="6" spans="1:14" x14ac:dyDescent="0.25">
      <c r="A6" t="s">
        <v>19</v>
      </c>
      <c r="B6" t="s">
        <v>27</v>
      </c>
      <c r="C6">
        <v>44</v>
      </c>
      <c r="F6" s="2" t="s">
        <v>33</v>
      </c>
      <c r="G6">
        <f>AVERAGEIF(B:B,B9,C:C)</f>
        <v>43</v>
      </c>
      <c r="H6" s="8">
        <f>AVERAGEIF(B:B,B8,C:C)</f>
        <v>51.714285714285715</v>
      </c>
      <c r="I6" s="8">
        <f>AVERAGEIF(B:B,B16,C:C)</f>
        <v>62.857142857142854</v>
      </c>
    </row>
    <row r="7" spans="1:14" x14ac:dyDescent="0.25">
      <c r="A7" t="s">
        <v>21</v>
      </c>
      <c r="B7" t="s">
        <v>27</v>
      </c>
      <c r="C7">
        <v>39</v>
      </c>
      <c r="E7" t="s">
        <v>34</v>
      </c>
      <c r="F7" s="2" t="s">
        <v>35</v>
      </c>
      <c r="G7">
        <f>COUNTIF(B:B,B10)</f>
        <v>7</v>
      </c>
      <c r="H7">
        <f>COUNTIF(B:B,B8)</f>
        <v>7</v>
      </c>
      <c r="I7">
        <f>COUNTIF(B:B,B17)</f>
        <v>7</v>
      </c>
    </row>
    <row r="8" spans="1:14" x14ac:dyDescent="0.25">
      <c r="A8" t="s">
        <v>16</v>
      </c>
      <c r="B8" t="s">
        <v>27</v>
      </c>
      <c r="C8">
        <v>100</v>
      </c>
      <c r="E8" t="s">
        <v>36</v>
      </c>
    </row>
    <row r="9" spans="1:14" x14ac:dyDescent="0.25">
      <c r="A9" t="s">
        <v>0</v>
      </c>
      <c r="B9" t="s">
        <v>30</v>
      </c>
      <c r="C9">
        <v>75</v>
      </c>
      <c r="E9" t="s">
        <v>37</v>
      </c>
      <c r="F9" s="10" t="s">
        <v>32</v>
      </c>
      <c r="G9" s="11"/>
    </row>
    <row r="10" spans="1:14" x14ac:dyDescent="0.25">
      <c r="A10" t="s">
        <v>1</v>
      </c>
      <c r="B10" t="s">
        <v>30</v>
      </c>
      <c r="C10">
        <v>32</v>
      </c>
      <c r="E10" t="s">
        <v>38</v>
      </c>
      <c r="G10" s="2" t="s">
        <v>30</v>
      </c>
      <c r="H10" s="2" t="s">
        <v>27</v>
      </c>
      <c r="I10" s="2" t="s">
        <v>31</v>
      </c>
    </row>
    <row r="11" spans="1:14" x14ac:dyDescent="0.25">
      <c r="A11" t="s">
        <v>2</v>
      </c>
      <c r="B11" t="s">
        <v>30</v>
      </c>
      <c r="C11">
        <v>40</v>
      </c>
      <c r="E11" t="s">
        <v>39</v>
      </c>
      <c r="F11" t="s">
        <v>0</v>
      </c>
      <c r="G11">
        <f>SUMIFS(C:C,B:B,$B$9,A:A,A2)</f>
        <v>75</v>
      </c>
      <c r="H11">
        <f>SUMIFS(C:C,B:B,$H$10,A:A,F11)</f>
        <v>28</v>
      </c>
      <c r="I11">
        <f>SUMIFS(C:C,B:B,$B$16,A:A,A2)</f>
        <v>55</v>
      </c>
    </row>
    <row r="12" spans="1:14" x14ac:dyDescent="0.25">
      <c r="A12" t="s">
        <v>17</v>
      </c>
      <c r="B12" t="s">
        <v>30</v>
      </c>
      <c r="C12">
        <v>21</v>
      </c>
      <c r="E12" t="s">
        <v>40</v>
      </c>
      <c r="F12" t="s">
        <v>1</v>
      </c>
      <c r="G12">
        <f t="shared" ref="G12:G17" si="0">SUMIFS(C:C,B:B,$B$9,A:A,A3)</f>
        <v>32</v>
      </c>
      <c r="H12">
        <f t="shared" ref="H12:H17" si="1">SUMIFS(C:C,B:B,$H$10,A:A,F12)</f>
        <v>32</v>
      </c>
      <c r="I12">
        <f t="shared" ref="I12:I17" si="2">SUMIFS(C:C,B:B,$B$16,A:A,A3)</f>
        <v>41</v>
      </c>
    </row>
    <row r="13" spans="1:14" x14ac:dyDescent="0.25">
      <c r="A13" t="s">
        <v>19</v>
      </c>
      <c r="B13" t="s">
        <v>30</v>
      </c>
      <c r="C13">
        <v>58</v>
      </c>
      <c r="F13" t="s">
        <v>2</v>
      </c>
      <c r="G13">
        <f t="shared" si="0"/>
        <v>40</v>
      </c>
      <c r="H13">
        <f t="shared" si="1"/>
        <v>52</v>
      </c>
      <c r="I13">
        <f t="shared" si="2"/>
        <v>92</v>
      </c>
    </row>
    <row r="14" spans="1:14" x14ac:dyDescent="0.25">
      <c r="A14" t="s">
        <v>21</v>
      </c>
      <c r="B14" t="s">
        <v>30</v>
      </c>
      <c r="C14">
        <v>21</v>
      </c>
      <c r="F14" t="s">
        <v>17</v>
      </c>
      <c r="G14">
        <f t="shared" si="0"/>
        <v>21</v>
      </c>
      <c r="H14">
        <f t="shared" si="1"/>
        <v>67</v>
      </c>
      <c r="I14">
        <f t="shared" si="2"/>
        <v>89</v>
      </c>
    </row>
    <row r="15" spans="1:14" x14ac:dyDescent="0.25">
      <c r="A15" t="s">
        <v>16</v>
      </c>
      <c r="B15" t="s">
        <v>30</v>
      </c>
      <c r="C15">
        <v>54</v>
      </c>
      <c r="F15" t="s">
        <v>19</v>
      </c>
      <c r="G15">
        <f t="shared" si="0"/>
        <v>58</v>
      </c>
      <c r="H15">
        <f t="shared" si="1"/>
        <v>44</v>
      </c>
      <c r="I15">
        <f t="shared" si="2"/>
        <v>34</v>
      </c>
    </row>
    <row r="16" spans="1:14" x14ac:dyDescent="0.25">
      <c r="A16" t="s">
        <v>0</v>
      </c>
      <c r="B16" t="s">
        <v>31</v>
      </c>
      <c r="C16">
        <v>55</v>
      </c>
      <c r="F16" t="s">
        <v>21</v>
      </c>
      <c r="G16">
        <f t="shared" si="0"/>
        <v>21</v>
      </c>
      <c r="H16">
        <f t="shared" si="1"/>
        <v>39</v>
      </c>
      <c r="I16">
        <f t="shared" si="2"/>
        <v>29</v>
      </c>
    </row>
    <row r="17" spans="1:9" x14ac:dyDescent="0.25">
      <c r="A17" t="s">
        <v>1</v>
      </c>
      <c r="B17" t="s">
        <v>31</v>
      </c>
      <c r="C17">
        <v>41</v>
      </c>
      <c r="F17" t="s">
        <v>16</v>
      </c>
      <c r="G17">
        <f t="shared" si="0"/>
        <v>54</v>
      </c>
      <c r="H17">
        <f t="shared" si="1"/>
        <v>100</v>
      </c>
      <c r="I17">
        <f t="shared" si="2"/>
        <v>100</v>
      </c>
    </row>
    <row r="18" spans="1:9" x14ac:dyDescent="0.25">
      <c r="A18" t="s">
        <v>2</v>
      </c>
      <c r="B18" t="s">
        <v>31</v>
      </c>
      <c r="C18">
        <v>92</v>
      </c>
    </row>
    <row r="19" spans="1:9" x14ac:dyDescent="0.25">
      <c r="A19" t="s">
        <v>17</v>
      </c>
      <c r="B19" t="s">
        <v>31</v>
      </c>
      <c r="C19">
        <v>89</v>
      </c>
      <c r="F19" s="10" t="s">
        <v>33</v>
      </c>
      <c r="G19" s="11"/>
    </row>
    <row r="20" spans="1:9" x14ac:dyDescent="0.25">
      <c r="A20" t="s">
        <v>19</v>
      </c>
      <c r="B20" t="s">
        <v>31</v>
      </c>
      <c r="C20">
        <v>34</v>
      </c>
      <c r="G20" s="2" t="s">
        <v>30</v>
      </c>
      <c r="H20" s="2" t="s">
        <v>27</v>
      </c>
      <c r="I20" s="2" t="s">
        <v>31</v>
      </c>
    </row>
    <row r="21" spans="1:9" x14ac:dyDescent="0.25">
      <c r="A21" t="s">
        <v>21</v>
      </c>
      <c r="B21" t="s">
        <v>31</v>
      </c>
      <c r="C21">
        <v>29</v>
      </c>
      <c r="F21" t="s">
        <v>0</v>
      </c>
      <c r="G21">
        <f>AVERAGEIFS(C:C,B:B,$B$9,A:A,A2)</f>
        <v>75</v>
      </c>
      <c r="H21">
        <f>AVERAGEIFS(C:C,B:B,$B$2,A:A,A2)</f>
        <v>28</v>
      </c>
      <c r="I21">
        <f>AVERAGEIFS(C:C,B:B,$B$16,A:A,A2)</f>
        <v>55</v>
      </c>
    </row>
    <row r="22" spans="1:9" x14ac:dyDescent="0.25">
      <c r="A22" t="s">
        <v>16</v>
      </c>
      <c r="B22" t="s">
        <v>31</v>
      </c>
      <c r="C22">
        <v>100</v>
      </c>
      <c r="F22" t="s">
        <v>1</v>
      </c>
      <c r="G22">
        <f t="shared" ref="G22:G27" si="3">AVERAGEIFS(C:C,B:B,$B$9,A:A,A3)</f>
        <v>32</v>
      </c>
      <c r="H22">
        <f t="shared" ref="H22:H27" si="4">AVERAGEIFS(C:C,B:B,$B$2,A:A,A3)</f>
        <v>32</v>
      </c>
      <c r="I22">
        <f t="shared" ref="I22:I27" si="5">AVERAGEIFS(C:C,B:B,$B$16,A:A,A3)</f>
        <v>41</v>
      </c>
    </row>
    <row r="23" spans="1:9" x14ac:dyDescent="0.25">
      <c r="F23" t="s">
        <v>2</v>
      </c>
      <c r="G23">
        <f t="shared" si="3"/>
        <v>40</v>
      </c>
      <c r="H23">
        <f t="shared" si="4"/>
        <v>52</v>
      </c>
      <c r="I23">
        <f t="shared" si="5"/>
        <v>92</v>
      </c>
    </row>
    <row r="24" spans="1:9" x14ac:dyDescent="0.25">
      <c r="F24" t="s">
        <v>17</v>
      </c>
      <c r="G24">
        <f t="shared" si="3"/>
        <v>21</v>
      </c>
      <c r="H24">
        <f t="shared" si="4"/>
        <v>67</v>
      </c>
      <c r="I24">
        <f t="shared" si="5"/>
        <v>89</v>
      </c>
    </row>
    <row r="25" spans="1:9" x14ac:dyDescent="0.25">
      <c r="F25" t="s">
        <v>19</v>
      </c>
      <c r="G25">
        <f t="shared" si="3"/>
        <v>58</v>
      </c>
      <c r="H25">
        <f t="shared" si="4"/>
        <v>44</v>
      </c>
      <c r="I25">
        <f t="shared" si="5"/>
        <v>34</v>
      </c>
    </row>
    <row r="26" spans="1:9" x14ac:dyDescent="0.25">
      <c r="F26" t="s">
        <v>21</v>
      </c>
      <c r="G26">
        <f t="shared" si="3"/>
        <v>21</v>
      </c>
      <c r="H26">
        <f t="shared" si="4"/>
        <v>39</v>
      </c>
      <c r="I26">
        <f t="shared" si="5"/>
        <v>29</v>
      </c>
    </row>
    <row r="27" spans="1:9" x14ac:dyDescent="0.25">
      <c r="F27" t="s">
        <v>16</v>
      </c>
      <c r="G27">
        <f t="shared" si="3"/>
        <v>54</v>
      </c>
      <c r="H27">
        <f t="shared" si="4"/>
        <v>100</v>
      </c>
      <c r="I27">
        <f t="shared" si="5"/>
        <v>100</v>
      </c>
    </row>
    <row r="28" spans="1:9" x14ac:dyDescent="0.25">
      <c r="G28" s="8">
        <f>AVERAGE(G21:G27)</f>
        <v>43</v>
      </c>
      <c r="H28" s="8">
        <f t="shared" ref="H28:I28" si="6">AVERAGE(H21:H27)</f>
        <v>51.714285714285715</v>
      </c>
      <c r="I28" s="8">
        <f t="shared" si="6"/>
        <v>62.857142857142854</v>
      </c>
    </row>
  </sheetData>
  <mergeCells count="2">
    <mergeCell ref="F9:G9"/>
    <mergeCell ref="F19:G1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D32"/>
  <sheetViews>
    <sheetView topLeftCell="A22" zoomScale="117" zoomScaleNormal="117" workbookViewId="0">
      <selection activeCell="A33" sqref="A33"/>
    </sheetView>
  </sheetViews>
  <sheetFormatPr defaultRowHeight="15" x14ac:dyDescent="0.25"/>
  <cols>
    <col min="1" max="1" width="23.140625" customWidth="1"/>
    <col min="4" max="4" width="12.140625" customWidth="1"/>
  </cols>
  <sheetData>
    <row r="1" spans="1:3" x14ac:dyDescent="0.25">
      <c r="A1" s="2" t="s">
        <v>41</v>
      </c>
    </row>
    <row r="2" spans="1:3" x14ac:dyDescent="0.25">
      <c r="A2" t="s">
        <v>42</v>
      </c>
    </row>
    <row r="3" spans="1:3" x14ac:dyDescent="0.25">
      <c r="A3" t="str">
        <f>PROPER(A2)</f>
        <v>Kevin Cookie Company</v>
      </c>
    </row>
    <row r="5" spans="1:3" x14ac:dyDescent="0.25">
      <c r="A5" s="2" t="s">
        <v>43</v>
      </c>
    </row>
    <row r="6" spans="1:3" x14ac:dyDescent="0.25">
      <c r="A6" t="s">
        <v>44</v>
      </c>
    </row>
    <row r="7" spans="1:3" x14ac:dyDescent="0.25">
      <c r="A7" t="str">
        <f>TRIM(A6)</f>
        <v>Kevin Cookie Company</v>
      </c>
    </row>
    <row r="9" spans="1:3" x14ac:dyDescent="0.25">
      <c r="A9" s="2" t="s">
        <v>45</v>
      </c>
    </row>
    <row r="10" spans="1:3" x14ac:dyDescent="0.25">
      <c r="A10" t="s">
        <v>46</v>
      </c>
      <c r="B10" t="s">
        <v>47</v>
      </c>
      <c r="C10" t="s">
        <v>48</v>
      </c>
    </row>
    <row r="11" spans="1:3" x14ac:dyDescent="0.25">
      <c r="A11" t="str">
        <f>_xlfn.CONCAT(A10,B10,C10)</f>
        <v>KevinCookieCompany</v>
      </c>
    </row>
    <row r="12" spans="1:3" x14ac:dyDescent="0.25">
      <c r="A12" t="str">
        <f>CONCATENATE(A10," ",B10," ",C10)</f>
        <v>Kevin Cookie Company</v>
      </c>
    </row>
    <row r="13" spans="1:3" x14ac:dyDescent="0.25">
      <c r="A13" s="2" t="s">
        <v>49</v>
      </c>
    </row>
    <row r="14" spans="1:3" x14ac:dyDescent="0.25">
      <c r="A14" t="s">
        <v>46</v>
      </c>
      <c r="B14" t="s">
        <v>47</v>
      </c>
      <c r="C14" t="s">
        <v>48</v>
      </c>
    </row>
    <row r="15" spans="1:3" x14ac:dyDescent="0.25">
      <c r="A15" t="str">
        <f>A14&amp;" "&amp;B14&amp;" "&amp;C14</f>
        <v>Kevin Cookie Company</v>
      </c>
    </row>
    <row r="17" spans="1:4" x14ac:dyDescent="0.25">
      <c r="A17" s="2" t="s">
        <v>50</v>
      </c>
    </row>
    <row r="18" spans="1:4" x14ac:dyDescent="0.25">
      <c r="A18" t="s">
        <v>46</v>
      </c>
      <c r="B18" t="s">
        <v>47</v>
      </c>
      <c r="C18" t="s">
        <v>48</v>
      </c>
    </row>
    <row r="19" spans="1:4" x14ac:dyDescent="0.25">
      <c r="A19" t="str">
        <f>_xlfn.TEXTJOIN(" ",TRUE,A18,B18,C18)</f>
        <v>Kevin Cookie Company</v>
      </c>
    </row>
    <row r="21" spans="1:4" x14ac:dyDescent="0.25">
      <c r="A21" s="2" t="s">
        <v>51</v>
      </c>
    </row>
    <row r="22" spans="1:4" x14ac:dyDescent="0.25">
      <c r="A22" t="s">
        <v>52</v>
      </c>
      <c r="B22" t="str">
        <f>LEFT(A22,3)</f>
        <v>123</v>
      </c>
      <c r="C22" t="str">
        <f>RIGHT(A22,5)</f>
        <v>05486</v>
      </c>
      <c r="D22" t="str">
        <f>MID(A22,4,12)</f>
        <v xml:space="preserve"> Main Street</v>
      </c>
    </row>
    <row r="24" spans="1:4" x14ac:dyDescent="0.25">
      <c r="A24" s="2" t="s">
        <v>53</v>
      </c>
    </row>
    <row r="25" spans="1:4" x14ac:dyDescent="0.25">
      <c r="A25" t="s">
        <v>54</v>
      </c>
    </row>
    <row r="26" spans="1:4" x14ac:dyDescent="0.25">
      <c r="A26">
        <f>LEN(A25)</f>
        <v>20</v>
      </c>
    </row>
    <row r="27" spans="1:4" x14ac:dyDescent="0.25">
      <c r="A27" s="2" t="s">
        <v>55</v>
      </c>
    </row>
    <row r="28" spans="1:4" x14ac:dyDescent="0.25">
      <c r="A28" s="5" t="s">
        <v>56</v>
      </c>
    </row>
    <row r="31" spans="1:4" x14ac:dyDescent="0.25">
      <c r="A31" s="2" t="s">
        <v>57</v>
      </c>
    </row>
    <row r="32" spans="1:4" x14ac:dyDescent="0.2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0" zoomScale="126" zoomScaleNormal="126" workbookViewId="0">
      <selection activeCell="C24" sqref="C24"/>
    </sheetView>
  </sheetViews>
  <sheetFormatPr defaultRowHeight="15" x14ac:dyDescent="0.25"/>
  <cols>
    <col min="1" max="1" width="21.7109375" bestFit="1" customWidth="1"/>
    <col min="2" max="2" width="16.42578125" customWidth="1"/>
  </cols>
  <sheetData>
    <row r="1" spans="1:3" x14ac:dyDescent="0.25">
      <c r="A1" s="2" t="s">
        <v>58</v>
      </c>
    </row>
    <row r="2" spans="1:3" x14ac:dyDescent="0.25">
      <c r="A2" t="s">
        <v>54</v>
      </c>
      <c r="B2" t="s">
        <v>59</v>
      </c>
      <c r="C2" t="b">
        <f>A2=B2</f>
        <v>0</v>
      </c>
    </row>
    <row r="3" spans="1:3" x14ac:dyDescent="0.25">
      <c r="A3">
        <v>10</v>
      </c>
      <c r="B3">
        <v>5</v>
      </c>
      <c r="C3" t="b">
        <f>A3&lt;B3</f>
        <v>0</v>
      </c>
    </row>
    <row r="4" spans="1:3" x14ac:dyDescent="0.25">
      <c r="B4">
        <v>11</v>
      </c>
      <c r="C4" t="b">
        <f>A3&lt;=B4</f>
        <v>1</v>
      </c>
    </row>
    <row r="5" spans="1:3" x14ac:dyDescent="0.25">
      <c r="C5" t="b">
        <f>B3&gt;B4</f>
        <v>0</v>
      </c>
    </row>
    <row r="8" spans="1:3" x14ac:dyDescent="0.25">
      <c r="A8" s="2"/>
    </row>
    <row r="9" spans="1:3" x14ac:dyDescent="0.25">
      <c r="A9" s="2" t="s">
        <v>11</v>
      </c>
      <c r="B9" s="2" t="s">
        <v>12</v>
      </c>
      <c r="C9" s="2" t="s">
        <v>60</v>
      </c>
    </row>
    <row r="10" spans="1:3" x14ac:dyDescent="0.25">
      <c r="A10" t="s">
        <v>0</v>
      </c>
      <c r="B10">
        <v>209</v>
      </c>
      <c r="C10" t="s">
        <v>61</v>
      </c>
    </row>
    <row r="11" spans="1:3" x14ac:dyDescent="0.25">
      <c r="A11" t="s">
        <v>1</v>
      </c>
      <c r="B11">
        <v>350</v>
      </c>
      <c r="C11" t="str">
        <f>IF(B10&gt;B11,"chocolate chip","oatmeal raisin")</f>
        <v>oatmeal raisin</v>
      </c>
    </row>
    <row r="12" spans="1:3" x14ac:dyDescent="0.25">
      <c r="A12" t="s">
        <v>2</v>
      </c>
      <c r="B12">
        <v>350</v>
      </c>
    </row>
    <row r="13" spans="1:3" x14ac:dyDescent="0.25">
      <c r="C13" s="2" t="s">
        <v>62</v>
      </c>
    </row>
    <row r="14" spans="1:3" x14ac:dyDescent="0.25">
      <c r="C14" t="s">
        <v>63</v>
      </c>
    </row>
    <row r="15" spans="1:3" x14ac:dyDescent="0.25">
      <c r="C15" t="str">
        <f>IF(AND(A10&gt;A11,A10&gt;A12),"yes","no")</f>
        <v>no</v>
      </c>
    </row>
    <row r="17" spans="1:5" x14ac:dyDescent="0.25">
      <c r="C17" s="2" t="s">
        <v>64</v>
      </c>
    </row>
    <row r="18" spans="1:5" x14ac:dyDescent="0.25">
      <c r="C18" t="s">
        <v>65</v>
      </c>
    </row>
    <row r="19" spans="1:5" x14ac:dyDescent="0.25">
      <c r="C19" t="str">
        <f>IF(OR(A10&gt;A11,A10&gt;A12),"yes","no")</f>
        <v>no</v>
      </c>
    </row>
    <row r="21" spans="1:5" x14ac:dyDescent="0.25">
      <c r="A21" s="2" t="s">
        <v>66</v>
      </c>
      <c r="B21" s="2" t="s">
        <v>67</v>
      </c>
      <c r="C21" s="2" t="s">
        <v>68</v>
      </c>
    </row>
    <row r="22" spans="1:5" x14ac:dyDescent="0.25">
      <c r="A22" t="s">
        <v>0</v>
      </c>
      <c r="B22">
        <v>10</v>
      </c>
      <c r="C22" t="s">
        <v>69</v>
      </c>
      <c r="E22" s="2" t="s">
        <v>2</v>
      </c>
    </row>
    <row r="23" spans="1:5" x14ac:dyDescent="0.25">
      <c r="A23" t="s">
        <v>1</v>
      </c>
      <c r="B23">
        <v>8</v>
      </c>
      <c r="C23">
        <f>_xlfn.IFS(E22=A22,B22,E22=A23,B23,E22=A24,B24)</f>
        <v>5</v>
      </c>
    </row>
    <row r="24" spans="1:5" x14ac:dyDescent="0.25">
      <c r="A24" t="s">
        <v>2</v>
      </c>
      <c r="B24">
        <v>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7"/>
  <sheetViews>
    <sheetView zoomScale="145" zoomScaleNormal="145" workbookViewId="0">
      <selection activeCell="E8" sqref="E8"/>
    </sheetView>
  </sheetViews>
  <sheetFormatPr defaultRowHeight="15" x14ac:dyDescent="0.25"/>
  <cols>
    <col min="1" max="1" width="14.42578125" bestFit="1" customWidth="1"/>
    <col min="3" max="3" width="11.5703125" customWidth="1"/>
    <col min="4" max="4" width="3.5703125" customWidth="1"/>
    <col min="5" max="5" width="19" bestFit="1" customWidth="1"/>
  </cols>
  <sheetData>
    <row r="1" spans="1:6" x14ac:dyDescent="0.25">
      <c r="A1" s="2" t="s">
        <v>66</v>
      </c>
      <c r="B1" s="2" t="s">
        <v>67</v>
      </c>
      <c r="C1" s="2" t="s">
        <v>6</v>
      </c>
      <c r="D1" s="2"/>
      <c r="E1" s="2" t="s">
        <v>70</v>
      </c>
    </row>
    <row r="2" spans="1:6" x14ac:dyDescent="0.25">
      <c r="A2" t="s">
        <v>0</v>
      </c>
      <c r="B2">
        <v>10</v>
      </c>
      <c r="C2">
        <v>4</v>
      </c>
      <c r="E2" t="s">
        <v>69</v>
      </c>
      <c r="F2" t="s">
        <v>2</v>
      </c>
    </row>
    <row r="3" spans="1:6" x14ac:dyDescent="0.25">
      <c r="A3" t="s">
        <v>1</v>
      </c>
      <c r="B3">
        <v>8</v>
      </c>
      <c r="C3">
        <v>3</v>
      </c>
      <c r="E3">
        <f>VLOOKUP(F2,A2:C4,2)</f>
        <v>5</v>
      </c>
    </row>
    <row r="4" spans="1:6" x14ac:dyDescent="0.25">
      <c r="A4" t="s">
        <v>2</v>
      </c>
      <c r="B4">
        <v>5</v>
      </c>
      <c r="C4">
        <v>2</v>
      </c>
    </row>
    <row r="5" spans="1:6" x14ac:dyDescent="0.25">
      <c r="E5" s="2" t="s">
        <v>71</v>
      </c>
    </row>
    <row r="6" spans="1:6" x14ac:dyDescent="0.25">
      <c r="E6" t="s">
        <v>69</v>
      </c>
      <c r="F6" t="s">
        <v>0</v>
      </c>
    </row>
    <row r="7" spans="1:6" x14ac:dyDescent="0.25">
      <c r="E7">
        <f>_xlfn.XLOOKUP(F6,A:A,B:B,"none")</f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104" zoomScaleNormal="104" workbookViewId="0">
      <selection activeCell="A548" sqref="A548"/>
    </sheetView>
  </sheetViews>
  <sheetFormatPr defaultRowHeight="15" x14ac:dyDescent="0.25"/>
  <cols>
    <col min="1" max="1" width="15.42578125" bestFit="1" customWidth="1"/>
  </cols>
  <sheetData>
    <row r="1" spans="1:1" x14ac:dyDescent="0.25">
      <c r="A1" s="2" t="s">
        <v>72</v>
      </c>
    </row>
    <row r="2" spans="1:1" x14ac:dyDescent="0.25">
      <c r="A2" s="6">
        <f ca="1">TODAY()</f>
        <v>46087</v>
      </c>
    </row>
    <row r="4" spans="1:1" x14ac:dyDescent="0.25">
      <c r="A4" s="2" t="s">
        <v>73</v>
      </c>
    </row>
    <row r="5" spans="1:1" x14ac:dyDescent="0.25">
      <c r="A5" s="7">
        <f ca="1">NOW()</f>
        <v>46087.908683912035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138" zoomScaleNormal="138" workbookViewId="0"/>
  </sheetViews>
  <sheetFormatPr defaultRowHeight="15" x14ac:dyDescent="0.25"/>
  <sheetData>
    <row r="1" spans="1:2" x14ac:dyDescent="0.25">
      <c r="A1">
        <f>5+4</f>
        <v>9</v>
      </c>
      <c r="B1">
        <v>1</v>
      </c>
    </row>
    <row r="2" spans="1:2" x14ac:dyDescent="0.25">
      <c r="A2">
        <f>8-2</f>
        <v>6</v>
      </c>
      <c r="B2">
        <v>3</v>
      </c>
    </row>
    <row r="3" spans="1:2" x14ac:dyDescent="0.25">
      <c r="A3">
        <f>A2+B2</f>
        <v>9</v>
      </c>
      <c r="B3">
        <f>4+2</f>
        <v>6</v>
      </c>
    </row>
    <row r="4" spans="1:2" x14ac:dyDescent="0.25">
      <c r="A4">
        <v>3</v>
      </c>
      <c r="B4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odekina gloria</cp:lastModifiedBy>
  <cp:revision/>
  <dcterms:created xsi:type="dcterms:W3CDTF">2022-05-10T22:30:35Z</dcterms:created>
  <dcterms:modified xsi:type="dcterms:W3CDTF">2026-03-06T20:48:41Z</dcterms:modified>
  <cp:category/>
  <cp:contentStatus/>
</cp:coreProperties>
</file>